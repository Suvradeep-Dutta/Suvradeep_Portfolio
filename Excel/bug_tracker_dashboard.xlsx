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uvra\Videos\Suvradeep_Portfolio\Excel\"/>
    </mc:Choice>
  </mc:AlternateContent>
  <xr:revisionPtr revIDLastSave="0" documentId="13_ncr:1_{CF3DAF64-9155-4FB8-895A-26799ECA8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G4" i="1"/>
  <c r="G2" i="1"/>
  <c r="G1" i="1"/>
</calcChain>
</file>

<file path=xl/sharedStrings.xml><?xml version="1.0" encoding="utf-8"?>
<sst xmlns="http://schemas.openxmlformats.org/spreadsheetml/2006/main" count="27" uniqueCount="21">
  <si>
    <t>Bug ID</t>
  </si>
  <si>
    <t>Module</t>
  </si>
  <si>
    <t>Severity</t>
  </si>
  <si>
    <t>Status</t>
  </si>
  <si>
    <t>Total Open Bugs</t>
  </si>
  <si>
    <t>Wi-Fi</t>
  </si>
  <si>
    <t>P1</t>
  </si>
  <si>
    <t>Open</t>
  </si>
  <si>
    <t>Total P1 Bugs</t>
  </si>
  <si>
    <t>BT</t>
  </si>
  <si>
    <t>P2</t>
  </si>
  <si>
    <t>Closed</t>
  </si>
  <si>
    <t>In-Progress</t>
  </si>
  <si>
    <t>Wi-Fi Bugs</t>
  </si>
  <si>
    <t>USB</t>
  </si>
  <si>
    <t>P3</t>
  </si>
  <si>
    <t>BT Bugs</t>
  </si>
  <si>
    <t>USB Bugs</t>
  </si>
  <si>
    <t>Row Labels</t>
  </si>
  <si>
    <t>Count of Bug 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</si>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</sst>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</cellXfs>
  <cellStyles count="1">
    <cellStyle name="Normal" xfId="0" builtinId="0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BT</c:v>
              </c:pt>
              <c:pt idx="1">
                <c:v>USB</c:v>
              </c:pt>
              <c:pt idx="2">
                <c:v>Wi-Fi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C8AD-43D6-97BE-BC4FEC5348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94563056"/>
        <c:axId val="594564136"/>
        <c:axId val="0"/>
      </c:bar3DChart>
      <c:catAx>
        <c:axId val="59456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64136"/>
        <c:crosses val="autoZero"/>
        <c:auto val="1"/>
        <c:lblAlgn val="ctr"/>
        <c:lblOffset val="100"/>
        <c:noMultiLvlLbl val="0"/>
      </c:catAx>
      <c:valAx>
        <c:axId val="594564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456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12248</xdr:colOff>
      <xdr:row>8</xdr:row>
      <xdr:rowOff>5443</xdr:rowOff>
    </xdr:from>
    <xdr:to>
      <xdr:col>12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60A6B-702F-4FC6-A55B-1E64F3929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vradeep Dutta" refreshedDate="45817.976725231485" createdVersion="8" refreshedVersion="8" minRefreshableVersion="3" recordCount="4" xr:uid="{E8E17AF6-9C00-4F22-95E2-E3A1421E551C}">
  <cacheSource type="worksheet">
    <worksheetSource ref="A1:D5" sheet="bug_tracker_dashboard" r:id="rId2"/>
  </cacheSource>
  <cacheFields count="4">
    <cacheField name="Bug ID" numFmtId="0">
      <sharedItems containsSemiMixedTypes="0" containsString="0" containsNumber="1" containsInteger="1" minValue="101" maxValue="104" count="4">
        <n v="101"/>
        <n v="102"/>
        <n v="103"/>
        <n v="104"/>
      </sharedItems>
    </cacheField>
    <cacheField name="Module" numFmtId="0">
      <sharedItems count="3">
        <s v="Wi-Fi"/>
        <s v="BT"/>
        <s v="USB"/>
      </sharedItems>
    </cacheField>
    <cacheField name="Severity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s v="P1"/>
    <s v="Open"/>
  </r>
  <r>
    <x v="1"/>
    <x v="1"/>
    <s v="P2"/>
    <s v="Closed"/>
  </r>
  <r>
    <x v="2"/>
    <x v="0"/>
    <s v="P2"/>
    <s v="In-Progress"/>
  </r>
  <r>
    <x v="3"/>
    <x v="2"/>
    <s v="P3"/>
    <s v="Op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CE278-875A-4168-B67A-8BDC76D3CC1D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9:C13" firstHeaderRow="1" firstDataRow="1" firstDataCol="1"/>
  <pivotFields count="4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ug ID" fld="0" subtotal="count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M28" sqref="M28"/>
    </sheetView>
  </sheetViews>
  <sheetFormatPr defaultRowHeight="15" x14ac:dyDescent="0.25"/>
  <cols>
    <col min="1" max="1" width="6.5703125" bestFit="1" customWidth="1"/>
    <col min="2" max="2" width="13.140625" bestFit="1" customWidth="1"/>
    <col min="3" max="3" width="14.85546875" bestFit="1" customWidth="1"/>
    <col min="4" max="4" width="11" bestFit="1" customWidth="1"/>
    <col min="6" max="6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>
        <f>COUNTIF(D2:D5, "Open")</f>
        <v>2</v>
      </c>
    </row>
    <row r="2" spans="1:7" x14ac:dyDescent="0.25">
      <c r="A2" s="2">
        <v>101</v>
      </c>
      <c r="B2" s="2" t="s">
        <v>5</v>
      </c>
      <c r="C2" s="2" t="s">
        <v>6</v>
      </c>
      <c r="D2" s="2" t="s">
        <v>7</v>
      </c>
      <c r="F2" s="2" t="s">
        <v>8</v>
      </c>
      <c r="G2" s="3">
        <f>COUNTIF(C2:C5, "P1")</f>
        <v>1</v>
      </c>
    </row>
    <row r="3" spans="1:7" x14ac:dyDescent="0.25">
      <c r="A3" s="2">
        <v>102</v>
      </c>
      <c r="B3" s="2" t="s">
        <v>9</v>
      </c>
      <c r="C3" s="2" t="s">
        <v>10</v>
      </c>
      <c r="D3" s="2" t="s">
        <v>11</v>
      </c>
      <c r="F3" s="4"/>
    </row>
    <row r="4" spans="1:7" x14ac:dyDescent="0.25">
      <c r="A4" s="2">
        <v>103</v>
      </c>
      <c r="B4" s="2" t="s">
        <v>5</v>
      </c>
      <c r="C4" s="2" t="s">
        <v>10</v>
      </c>
      <c r="D4" s="2" t="s">
        <v>12</v>
      </c>
      <c r="F4" s="2" t="s">
        <v>13</v>
      </c>
      <c r="G4" s="3">
        <f>COUNTIF(B2:B5,"Wi-Fi")</f>
        <v>2</v>
      </c>
    </row>
    <row r="5" spans="1:7" x14ac:dyDescent="0.25">
      <c r="A5" s="2">
        <v>104</v>
      </c>
      <c r="B5" s="2" t="s">
        <v>14</v>
      </c>
      <c r="C5" s="2" t="s">
        <v>15</v>
      </c>
      <c r="D5" s="2" t="s">
        <v>7</v>
      </c>
      <c r="F5" s="2" t="s">
        <v>16</v>
      </c>
      <c r="G5" s="3">
        <f>COUNTIF(B2:B5, "BT")</f>
        <v>1</v>
      </c>
    </row>
    <row r="6" spans="1:7" x14ac:dyDescent="0.25">
      <c r="F6" s="2" t="s">
        <v>17</v>
      </c>
      <c r="G6" s="3">
        <f>COUNTIF(B2:B5, "USB")</f>
        <v>1</v>
      </c>
    </row>
    <row r="9" spans="1:7" x14ac:dyDescent="0.25">
      <c r="B9" s="5" t="s">
        <v>18</v>
      </c>
      <c r="C9" s="2" t="s">
        <v>19</v>
      </c>
    </row>
    <row r="10" spans="1:7" x14ac:dyDescent="0.25">
      <c r="B10" s="2" t="s">
        <v>9</v>
      </c>
      <c r="C10" s="2">
        <v>1</v>
      </c>
    </row>
    <row r="11" spans="1:7" x14ac:dyDescent="0.25">
      <c r="B11" s="2" t="s">
        <v>14</v>
      </c>
      <c r="C11" s="2">
        <v>1</v>
      </c>
    </row>
    <row r="12" spans="1:7" x14ac:dyDescent="0.25">
      <c r="B12" s="2" t="s">
        <v>5</v>
      </c>
      <c r="C12" s="2">
        <v>2</v>
      </c>
    </row>
    <row r="13" spans="1:7" x14ac:dyDescent="0.25">
      <c r="B13" s="2" t="s">
        <v>20</v>
      </c>
      <c r="C13" s="2">
        <v>4</v>
      </c>
    </row>
  </sheetData>
  <conditionalFormatting sqref="F9">
    <cfRule type="containsText" dxfId="24" priority="7" operator="containsText" text="&quot;Open&quot;">
      <formula>NOT(ISERROR(SEARCH("""Open""",F9)))</formula>
    </cfRule>
  </conditionalFormatting>
  <conditionalFormatting sqref="F10">
    <cfRule type="containsText" dxfId="21" priority="4" operator="containsText" text="&quot;In-Progress&quot;">
      <formula>NOT(ISERROR(SEARCH("""In-Progress""",F10)))</formula>
    </cfRule>
    <cfRule type="containsText" dxfId="22" priority="5" operator="containsText" text="&quot;Closed&quot;">
      <formula>NOT(ISERROR(SEARCH("""Closed""",F10)))</formula>
    </cfRule>
    <cfRule type="containsText" dxfId="23" priority="6" operator="containsText" text="&quot;Open&quot;">
      <formula>NOT(ISERROR(SEARCH("""Open""",F10)))</formula>
    </cfRule>
  </conditionalFormatting>
  <conditionalFormatting sqref="D2:D5">
    <cfRule type="containsText" dxfId="18" priority="1" operator="containsText" text="In-Progress">
      <formula>NOT(ISERROR(SEARCH("In-Progress",D2)))</formula>
    </cfRule>
    <cfRule type="containsText" dxfId="19" priority="2" operator="containsText" text="Closed">
      <formula>NOT(ISERROR(SEARCH("Closed",D2)))</formula>
    </cfRule>
    <cfRule type="containsText" dxfId="20" priority="3" operator="containsText" text="Open">
      <formula>NOT(ISERROR(SEARCH("Open",D2)))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Suvradeep Dutta</dc:creator>
  <cp:lastModifiedBy>Suvradeep Dutta</cp:lastModifiedBy>
  <dcterms:created xsi:type="dcterms:W3CDTF">2015-06-05T18:17:20Z</dcterms:created>
  <dcterms:modified xsi:type="dcterms:W3CDTF">2025-06-10T16:10:17Z</dcterms:modified>
</cp:coreProperties>
</file>